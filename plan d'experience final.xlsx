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jdoul\Desktop\L3 spi\Projet\livrable lanceur\"/>
    </mc:Choice>
  </mc:AlternateContent>
  <xr:revisionPtr revIDLastSave="0" documentId="13_ncr:1_{B64DE0C2-7BF7-4717-B875-6B8C8BF56C1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F3" i="1"/>
  <c r="M16" i="1"/>
  <c r="E3" i="1"/>
  <c r="C5" i="1"/>
  <c r="O13" i="1" s="1"/>
  <c r="C3" i="1"/>
  <c r="F5" i="1"/>
  <c r="O16" i="1" s="1"/>
  <c r="E5" i="1"/>
  <c r="O15" i="1" s="1"/>
  <c r="D5" i="1"/>
  <c r="O14" i="1" s="1"/>
  <c r="M15" i="1"/>
  <c r="M14" i="1"/>
  <c r="M13" i="1"/>
  <c r="L16" i="1"/>
  <c r="N16" i="1" s="1"/>
  <c r="L15" i="1"/>
  <c r="L14" i="1"/>
  <c r="L13" i="1"/>
  <c r="N15" i="1" l="1"/>
  <c r="N14" i="1"/>
  <c r="N13" i="1"/>
  <c r="C22" i="1" l="1" a="1"/>
  <c r="C22" i="1" s="1"/>
  <c r="D24" i="1" l="1"/>
  <c r="E23" i="1"/>
  <c r="C25" i="1"/>
  <c r="F24" i="1"/>
  <c r="E22" i="1"/>
  <c r="F25" i="1"/>
  <c r="D23" i="1"/>
  <c r="C24" i="1"/>
  <c r="E24" i="1"/>
  <c r="F23" i="1"/>
  <c r="D25" i="1"/>
  <c r="D22" i="1"/>
  <c r="E25" i="1"/>
  <c r="C23" i="1"/>
  <c r="F22" i="1"/>
  <c r="H22" i="1" l="1" a="1"/>
  <c r="H22" i="1" s="1"/>
  <c r="J23" i="1" l="1"/>
  <c r="I23" i="1"/>
  <c r="I24" i="1"/>
  <c r="K23" i="1"/>
  <c r="K24" i="1"/>
  <c r="J24" i="1"/>
  <c r="H24" i="1"/>
  <c r="I25" i="1"/>
  <c r="J25" i="1"/>
  <c r="I22" i="1"/>
  <c r="J22" i="1"/>
  <c r="K22" i="1"/>
  <c r="H23" i="1"/>
  <c r="K25" i="1"/>
  <c r="H25" i="1"/>
  <c r="M22" i="1" l="1" a="1"/>
  <c r="O25" i="1" s="1"/>
  <c r="P25" i="1" l="1"/>
  <c r="N24" i="1"/>
  <c r="O24" i="1"/>
  <c r="N22" i="1"/>
  <c r="P23" i="1"/>
  <c r="N25" i="1"/>
  <c r="M22" i="1"/>
  <c r="P24" i="1"/>
  <c r="M24" i="1"/>
  <c r="O23" i="1"/>
  <c r="M25" i="1"/>
  <c r="O22" i="1"/>
  <c r="N23" i="1"/>
  <c r="M23" i="1"/>
  <c r="P22" i="1"/>
  <c r="R22" i="1" l="1" a="1"/>
  <c r="R24" i="1" s="1"/>
  <c r="S25" i="1" l="1"/>
  <c r="T24" i="1"/>
  <c r="U22" i="1"/>
  <c r="S22" i="1"/>
  <c r="U23" i="1"/>
  <c r="T23" i="1"/>
  <c r="R25" i="1"/>
  <c r="U24" i="1"/>
  <c r="R23" i="1"/>
  <c r="S23" i="1"/>
  <c r="R22" i="1"/>
  <c r="S24" i="1"/>
  <c r="T22" i="1"/>
  <c r="U25" i="1"/>
  <c r="T25" i="1"/>
  <c r="X22" i="1" l="1" a="1"/>
  <c r="X25" i="1" s="1"/>
  <c r="X24" i="1" l="1"/>
  <c r="X23" i="1"/>
  <c r="X22" i="1"/>
</calcChain>
</file>

<file path=xl/sharedStrings.xml><?xml version="1.0" encoding="utf-8"?>
<sst xmlns="http://schemas.openxmlformats.org/spreadsheetml/2006/main" count="64" uniqueCount="39">
  <si>
    <t>1er essai</t>
  </si>
  <si>
    <t>2e essai</t>
  </si>
  <si>
    <t>3e essai</t>
  </si>
  <si>
    <t>4e essai</t>
  </si>
  <si>
    <t>X1=alpha</t>
  </si>
  <si>
    <t>X2=beta</t>
  </si>
  <si>
    <t>Y</t>
  </si>
  <si>
    <t>X1</t>
  </si>
  <si>
    <t>X2</t>
  </si>
  <si>
    <t>min</t>
  </si>
  <si>
    <t>max</t>
  </si>
  <si>
    <t>Variables centrées réduites</t>
  </si>
  <si>
    <t>X1X2</t>
  </si>
  <si>
    <t>Essaie 1</t>
  </si>
  <si>
    <t>Essaie 2</t>
  </si>
  <si>
    <t>Essaie 3</t>
  </si>
  <si>
    <t>Essaie 4</t>
  </si>
  <si>
    <t>Transposé Ct</t>
  </si>
  <si>
    <t>Produit Ct*C</t>
  </si>
  <si>
    <t>Inverse (Ct*C)</t>
  </si>
  <si>
    <t>Produit (inerve * transposé)</t>
  </si>
  <si>
    <t>a0</t>
  </si>
  <si>
    <t>a1</t>
  </si>
  <si>
    <t>a2</t>
  </si>
  <si>
    <t>a12</t>
  </si>
  <si>
    <t>NB: 3 essai dans chaque essai et faire la moyenne</t>
  </si>
  <si>
    <t>1' essai</t>
  </si>
  <si>
    <t>2' essai</t>
  </si>
  <si>
    <t>3' essai</t>
  </si>
  <si>
    <t>4' essai</t>
  </si>
  <si>
    <t>1'' essai</t>
  </si>
  <si>
    <t>2" essai</t>
  </si>
  <si>
    <t>3" essai</t>
  </si>
  <si>
    <t>4" essai</t>
  </si>
  <si>
    <t>1ER CRAN</t>
  </si>
  <si>
    <t>2EME CRAN</t>
  </si>
  <si>
    <t>5 elastique NEUF</t>
  </si>
  <si>
    <t>y=205.775-105.4497X1</t>
  </si>
  <si>
    <t>Y=159.575-76.908.5X1+46.2X2-28.5417X1X2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</si>
</sst>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2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Portée</a:t>
            </a:r>
            <a:r>
              <a:rPr lang="fr-FR" baseline="0"/>
              <a:t> en fonction de l'angle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cran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Feuil1!$C$3:$D$3</c:f>
              <c:numCache>
                <c:formatCode>General</c:formatCode>
                <c:ptCount val="2"/>
                <c:pt idx="0">
                  <c:v>40</c:v>
                </c:pt>
                <c:pt idx="1">
                  <c:v>70</c:v>
                </c:pt>
              </c:numCache>
            </c:numRef>
          </c:xVal>
          <c:yVal>
            <c:numRef>
              <c:f>Feuil1!$C$5:$D$5</c:f>
              <c:numCache>
                <c:formatCode>General</c:formatCode>
                <c:ptCount val="2"/>
                <c:pt idx="0" formatCode="0.00">
                  <c:v>311.23333333333329</c:v>
                </c:pt>
                <c:pt idx="1">
                  <c:v>100.33333333333333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7D-4489-B973-6DCC330B74D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Feuil1!$E$3:$F$3</c:f>
              <c:numCache>
                <c:formatCode>General</c:formatCode>
                <c:ptCount val="2"/>
                <c:pt idx="0">
                  <c:v>40</c:v>
                </c:pt>
                <c:pt idx="1">
                  <c:v>70</c:v>
                </c:pt>
              </c:numCache>
            </c:numRef>
          </c:xVal>
          <c:yVal>
            <c:numRef>
              <c:f>Feuil1!$E$5:$F$5</c:f>
              <c:numCache>
                <c:formatCode>General</c:formatCode>
                <c:ptCount val="2"/>
                <c:pt idx="0">
                  <c:v>161.73333333333332</c:v>
                </c:pt>
                <c:pt idx="1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A7D-4489-B973-6DCC330B7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584336"/>
        <c:axId val="501590816"/>
      </c:scatterChart>
      <c:valAx>
        <c:axId val="50158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1590816"/>
        <c:crosses val="autoZero"/>
        <c:crossBetween val="midCat"/>
      </c:valAx>
      <c:valAx>
        <c:axId val="5015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158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15593</xdr:colOff>
      <xdr:row>8</xdr:row>
      <xdr:rowOff>106779</xdr:rowOff>
    </xdr:from>
    <xdr:to>
      <xdr:col>7</xdr:col>
      <xdr:colOff>225978</xdr:colOff>
      <xdr:row>10</xdr:row>
      <xdr:rowOff>97255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8C4E68F-2347-54A5-3F27-71F8CF8E0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351" y="1569203"/>
          <a:ext cx="4717074" cy="356082"/>
        </a:xfrm>
        <a:prstGeom prst="rect">
          <a:avLst/>
        </a:prstGeom>
      </xdr:spPr>
    </xdr:pic>
    <xdr:clientData/>
  </xdr:twoCellAnchor>
  <xdr:twoCellAnchor editAs="oneCell">
    <xdr:from>
      <xdr:col>15</xdr:col>
      <xdr:colOff>588221</xdr:colOff>
      <xdr:row>8</xdr:row>
      <xdr:rowOff>157170</xdr:rowOff>
    </xdr:from>
    <xdr:to>
      <xdr:col>19</xdr:col>
      <xdr:colOff>480224</xdr:colOff>
      <xdr:row>18</xdr:row>
      <xdr:rowOff>157169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E7A02C3-651F-51EB-A41D-84C1F226D186}"/>
            </a:ext>
            <a:ext uri="{147F2762-F138-4A5C-976F-8EAC2B608ADB}">
              <a16:predDERef xmlns:a16="http://schemas.microsoft.com/office/drawing/2014/main" pred="{D8C4E68F-2347-54A5-3F27-71F8CF8E0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17615" y="1619594"/>
          <a:ext cx="2816851" cy="1828030"/>
        </a:xfrm>
        <a:prstGeom prst="rect">
          <a:avLst/>
        </a:prstGeom>
      </xdr:spPr>
    </xdr:pic>
    <xdr:clientData/>
  </xdr:twoCellAnchor>
  <xdr:twoCellAnchor editAs="oneCell">
    <xdr:from>
      <xdr:col>21</xdr:col>
      <xdr:colOff>10331</xdr:colOff>
      <xdr:row>12</xdr:row>
      <xdr:rowOff>163899</xdr:rowOff>
    </xdr:from>
    <xdr:to>
      <xdr:col>24</xdr:col>
      <xdr:colOff>110375</xdr:colOff>
      <xdr:row>14</xdr:row>
      <xdr:rowOff>164801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314B78-0F3D-1566-8FAC-572518456C70}"/>
            </a:ext>
            <a:ext uri="{147F2762-F138-4A5C-976F-8EAC2B608ADB}">
              <a16:predDERef xmlns:a16="http://schemas.microsoft.com/office/drawing/2014/main" pred="{0E7A02C3-651F-51EB-A41D-84C1F226D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84725" y="2357535"/>
          <a:ext cx="1875157" cy="366508"/>
        </a:xfrm>
        <a:prstGeom prst="rect">
          <a:avLst/>
        </a:prstGeom>
      </xdr:spPr>
    </xdr:pic>
    <xdr:clientData/>
  </xdr:twoCellAnchor>
  <xdr:twoCellAnchor>
    <xdr:from>
      <xdr:col>25</xdr:col>
      <xdr:colOff>582287</xdr:colOff>
      <xdr:row>2</xdr:row>
      <xdr:rowOff>149456</xdr:rowOff>
    </xdr:from>
    <xdr:to>
      <xdr:col>35</xdr:col>
      <xdr:colOff>429053</xdr:colOff>
      <xdr:row>23</xdr:row>
      <xdr:rowOff>102972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50AE39-5605-6949-7BD3-7E1E96241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tabSelected="1" zoomScale="40" zoomScaleNormal="40" workbookViewId="0">
      <selection activeCell="Q29" sqref="Q29"/>
    </sheetView>
  </sheetViews>
  <sheetFormatPr baseColWidth="10" defaultColWidth="8.7265625" defaultRowHeight="14.5" x14ac:dyDescent="0.35"/>
  <cols>
    <col min="2" max="2" width="9.1796875" bestFit="1" customWidth="1"/>
    <col min="3" max="3" width="15.26953125" customWidth="1"/>
    <col min="4" max="4" width="14.54296875" customWidth="1"/>
    <col min="5" max="5" width="12.90625" customWidth="1"/>
    <col min="6" max="6" width="13.08984375" customWidth="1"/>
    <col min="9" max="10" width="10.08984375" customWidth="1"/>
    <col min="11" max="11" width="11.7265625" customWidth="1"/>
    <col min="12" max="12" width="12" customWidth="1"/>
    <col min="13" max="13" width="10.36328125" customWidth="1"/>
    <col min="14" max="14" width="10" customWidth="1"/>
    <col min="15" max="15" width="12.36328125" customWidth="1"/>
    <col min="16" max="16" width="10.7265625" customWidth="1"/>
    <col min="17" max="17" width="9.90625" customWidth="1"/>
    <col min="18" max="18" width="10.26953125" customWidth="1"/>
    <col min="19" max="19" width="10.90625" customWidth="1"/>
    <col min="20" max="20" width="11.54296875" customWidth="1"/>
    <col min="23" max="23" width="7.08984375" customWidth="1"/>
    <col min="24" max="24" width="9.7265625" customWidth="1"/>
    <col min="25" max="25" width="7.6328125" customWidth="1"/>
  </cols>
  <sheetData>
    <row r="1" spans="1:2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35">
      <c r="A2" s="4"/>
      <c r="B2" s="11"/>
      <c r="C2" s="11" t="s">
        <v>0</v>
      </c>
      <c r="D2" s="11" t="s">
        <v>1</v>
      </c>
      <c r="E2" s="11" t="s">
        <v>2</v>
      </c>
      <c r="F2" s="11" t="s">
        <v>3</v>
      </c>
      <c r="G2" s="4"/>
      <c r="H2" s="4"/>
      <c r="I2" s="12" t="s">
        <v>0</v>
      </c>
      <c r="J2" s="12" t="s">
        <v>1</v>
      </c>
      <c r="K2" s="12" t="s">
        <v>2</v>
      </c>
      <c r="L2" s="12" t="s">
        <v>3</v>
      </c>
      <c r="M2" s="12" t="s">
        <v>26</v>
      </c>
      <c r="N2" s="12" t="s">
        <v>27</v>
      </c>
      <c r="O2" s="12" t="s">
        <v>28</v>
      </c>
      <c r="P2" s="12" t="s">
        <v>29</v>
      </c>
      <c r="Q2" s="12" t="s">
        <v>30</v>
      </c>
      <c r="R2" s="12" t="s">
        <v>31</v>
      </c>
      <c r="S2" s="12" t="s">
        <v>32</v>
      </c>
      <c r="T2" s="12" t="s">
        <v>33</v>
      </c>
      <c r="U2" s="4"/>
      <c r="V2" s="16" t="s">
        <v>34</v>
      </c>
      <c r="W2" s="2">
        <v>45</v>
      </c>
      <c r="X2" s="2">
        <v>45</v>
      </c>
      <c r="Y2" s="2">
        <v>45</v>
      </c>
    </row>
    <row r="3" spans="1:25" x14ac:dyDescent="0.35">
      <c r="A3" s="4"/>
      <c r="B3" s="11" t="s">
        <v>4</v>
      </c>
      <c r="C3" s="3">
        <f>AVERAGE(I3,M3,Q3)</f>
        <v>40</v>
      </c>
      <c r="D3" s="3">
        <f>AVERAGE(J3,N3,R3)</f>
        <v>70</v>
      </c>
      <c r="E3" s="3">
        <f>AVERAGE(K3,O3,S3)</f>
        <v>40</v>
      </c>
      <c r="F3" s="3">
        <f>AVERAGE(L3,P3,T3)</f>
        <v>70</v>
      </c>
      <c r="G3" s="4"/>
      <c r="H3" s="4"/>
      <c r="I3" s="2">
        <v>40</v>
      </c>
      <c r="J3" s="2">
        <v>70</v>
      </c>
      <c r="K3" s="2">
        <v>40</v>
      </c>
      <c r="L3" s="2">
        <v>70</v>
      </c>
      <c r="M3" s="2">
        <v>40</v>
      </c>
      <c r="N3" s="2">
        <v>70</v>
      </c>
      <c r="O3" s="2">
        <v>40</v>
      </c>
      <c r="P3" s="2">
        <v>70</v>
      </c>
      <c r="Q3" s="2">
        <v>40</v>
      </c>
      <c r="R3" s="2">
        <v>70</v>
      </c>
      <c r="S3" s="2">
        <v>40</v>
      </c>
      <c r="T3" s="2">
        <v>70</v>
      </c>
      <c r="U3" s="4"/>
      <c r="V3" s="16"/>
      <c r="W3" s="2">
        <v>45</v>
      </c>
      <c r="X3" s="2">
        <v>220</v>
      </c>
      <c r="Y3" s="2">
        <v>220</v>
      </c>
    </row>
    <row r="4" spans="1:25" x14ac:dyDescent="0.35">
      <c r="A4" s="4"/>
      <c r="B4" s="13" t="s">
        <v>5</v>
      </c>
      <c r="C4" s="2" t="s">
        <v>34</v>
      </c>
      <c r="D4" s="2" t="s">
        <v>34</v>
      </c>
      <c r="E4" s="2" t="s">
        <v>35</v>
      </c>
      <c r="F4" s="2" t="s">
        <v>35</v>
      </c>
      <c r="G4" s="4"/>
      <c r="H4" s="4"/>
      <c r="I4" s="2" t="s">
        <v>34</v>
      </c>
      <c r="J4" s="2" t="s">
        <v>34</v>
      </c>
      <c r="K4" s="2" t="s">
        <v>35</v>
      </c>
      <c r="L4" s="2" t="s">
        <v>35</v>
      </c>
      <c r="M4" s="2" t="s">
        <v>34</v>
      </c>
      <c r="N4" s="2" t="s">
        <v>34</v>
      </c>
      <c r="O4" s="2" t="s">
        <v>35</v>
      </c>
      <c r="P4" s="2" t="s">
        <v>35</v>
      </c>
      <c r="Q4" s="2" t="s">
        <v>34</v>
      </c>
      <c r="R4" s="2" t="s">
        <v>34</v>
      </c>
      <c r="S4" s="2" t="s">
        <v>35</v>
      </c>
      <c r="T4" s="2" t="s">
        <v>35</v>
      </c>
      <c r="U4" s="4"/>
      <c r="V4" s="16"/>
      <c r="W4" s="2"/>
      <c r="X4" s="2"/>
      <c r="Y4" s="2"/>
    </row>
    <row r="5" spans="1:25" x14ac:dyDescent="0.35">
      <c r="A5" s="4"/>
      <c r="B5" s="11" t="s">
        <v>6</v>
      </c>
      <c r="C5" s="5">
        <f>AVERAGE(I5,M5,Q5)</f>
        <v>311.23333333333329</v>
      </c>
      <c r="D5" s="6">
        <f>AVERAGE(J5,N5,R5)</f>
        <v>100.33333333333333</v>
      </c>
      <c r="E5" s="6">
        <f>AVERAGE(K5,O5,S5)</f>
        <v>161.73333333333332</v>
      </c>
      <c r="F5" s="6">
        <f>AVERAGE(L5,P5,T5)</f>
        <v>65</v>
      </c>
      <c r="G5" s="4"/>
      <c r="H5" s="4"/>
      <c r="I5" s="2">
        <v>314.39999999999998</v>
      </c>
      <c r="J5" s="2">
        <v>100</v>
      </c>
      <c r="K5" s="2">
        <v>165.2</v>
      </c>
      <c r="L5" s="2">
        <v>65</v>
      </c>
      <c r="M5" s="2">
        <v>314.2</v>
      </c>
      <c r="N5" s="2">
        <v>98</v>
      </c>
      <c r="O5" s="2">
        <v>160</v>
      </c>
      <c r="P5" s="2">
        <v>65</v>
      </c>
      <c r="Q5" s="2">
        <v>305.10000000000002</v>
      </c>
      <c r="R5" s="2">
        <v>103</v>
      </c>
      <c r="S5" s="2">
        <v>160</v>
      </c>
      <c r="T5" s="2">
        <v>65</v>
      </c>
      <c r="U5" s="4"/>
      <c r="V5" s="16"/>
      <c r="W5" s="2">
        <v>55</v>
      </c>
      <c r="X5" s="2">
        <v>55</v>
      </c>
      <c r="Y5" s="2">
        <v>55</v>
      </c>
    </row>
    <row r="6" spans="1:25" x14ac:dyDescent="0.35">
      <c r="A6" s="4"/>
      <c r="B6" s="11" t="s">
        <v>4</v>
      </c>
      <c r="C6" s="7">
        <v>-1</v>
      </c>
      <c r="D6" s="7">
        <v>1</v>
      </c>
      <c r="E6" s="7">
        <v>-1</v>
      </c>
      <c r="F6" s="7">
        <v>1</v>
      </c>
      <c r="G6" s="4"/>
      <c r="H6" s="4"/>
      <c r="I6" s="7">
        <v>-1</v>
      </c>
      <c r="J6" s="7">
        <v>1</v>
      </c>
      <c r="K6" s="7">
        <v>-1</v>
      </c>
      <c r="L6" s="7">
        <v>1</v>
      </c>
      <c r="M6" s="7">
        <v>-1</v>
      </c>
      <c r="N6" s="7">
        <v>1</v>
      </c>
      <c r="O6" s="7">
        <v>-1</v>
      </c>
      <c r="P6" s="7">
        <v>1</v>
      </c>
      <c r="Q6" s="7">
        <v>-1</v>
      </c>
      <c r="R6" s="7">
        <v>1</v>
      </c>
      <c r="S6" s="7">
        <v>-1</v>
      </c>
      <c r="T6" s="7">
        <v>1</v>
      </c>
      <c r="U6" s="4"/>
      <c r="V6" s="16"/>
      <c r="W6" s="2">
        <v>160</v>
      </c>
      <c r="X6" s="2">
        <v>160</v>
      </c>
      <c r="Y6" s="2">
        <v>160</v>
      </c>
    </row>
    <row r="7" spans="1:25" x14ac:dyDescent="0.35">
      <c r="A7" s="4"/>
      <c r="B7" s="14" t="s">
        <v>5</v>
      </c>
      <c r="C7" s="7">
        <v>1</v>
      </c>
      <c r="D7" s="7">
        <v>1</v>
      </c>
      <c r="E7" s="7">
        <v>-1</v>
      </c>
      <c r="F7" s="7">
        <v>-1</v>
      </c>
      <c r="G7" s="4"/>
      <c r="H7" s="4"/>
      <c r="I7" s="7">
        <v>1</v>
      </c>
      <c r="J7" s="7">
        <v>1</v>
      </c>
      <c r="K7" s="7">
        <v>-1</v>
      </c>
      <c r="L7" s="7">
        <v>-1</v>
      </c>
      <c r="M7" s="7">
        <v>1</v>
      </c>
      <c r="N7" s="7">
        <v>1</v>
      </c>
      <c r="O7" s="7">
        <v>-1</v>
      </c>
      <c r="P7" s="7">
        <v>-1</v>
      </c>
      <c r="Q7" s="7">
        <v>1</v>
      </c>
      <c r="R7" s="7">
        <v>1</v>
      </c>
      <c r="S7" s="7">
        <v>-1</v>
      </c>
      <c r="T7" s="7">
        <v>-1</v>
      </c>
      <c r="U7" s="4"/>
      <c r="V7" s="16"/>
      <c r="W7" s="2"/>
      <c r="X7" s="2"/>
      <c r="Y7" s="2"/>
    </row>
    <row r="8" spans="1:25" x14ac:dyDescent="0.35">
      <c r="A8" s="4"/>
      <c r="B8" s="4"/>
      <c r="C8" s="4"/>
      <c r="D8" s="4"/>
      <c r="E8" s="4"/>
      <c r="F8" s="4"/>
      <c r="G8" s="4"/>
      <c r="H8" s="4"/>
      <c r="I8" s="20" t="s">
        <v>25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4"/>
      <c r="V8" s="16"/>
      <c r="W8" s="2"/>
      <c r="X8" s="2"/>
      <c r="Y8" s="2"/>
    </row>
    <row r="9" spans="1:25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6"/>
      <c r="W9" s="2">
        <v>35</v>
      </c>
      <c r="X9" s="2">
        <v>35</v>
      </c>
      <c r="Y9" s="2">
        <v>35</v>
      </c>
    </row>
    <row r="10" spans="1:25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36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16"/>
      <c r="W10" s="2">
        <v>300</v>
      </c>
      <c r="X10" s="2">
        <v>300</v>
      </c>
      <c r="Y10" s="2">
        <v>300</v>
      </c>
    </row>
    <row r="11" spans="1:25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35">
      <c r="A12" s="4"/>
      <c r="B12" s="4"/>
      <c r="F12" s="4"/>
      <c r="G12" s="4"/>
      <c r="H12" s="4"/>
      <c r="I12" s="4"/>
      <c r="J12" s="1"/>
      <c r="K12" s="1"/>
      <c r="L12" s="8" t="s">
        <v>7</v>
      </c>
      <c r="M12" s="1" t="s">
        <v>8</v>
      </c>
      <c r="N12" s="1" t="s">
        <v>12</v>
      </c>
      <c r="O12" s="8" t="s">
        <v>6</v>
      </c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35">
      <c r="A13" s="4"/>
      <c r="C13" s="11"/>
      <c r="D13" s="11" t="s">
        <v>7</v>
      </c>
      <c r="E13" s="11" t="s">
        <v>8</v>
      </c>
      <c r="I13" s="4"/>
      <c r="J13" s="1" t="s">
        <v>13</v>
      </c>
      <c r="K13" s="2">
        <v>1</v>
      </c>
      <c r="L13" s="2">
        <f>C6</f>
        <v>-1</v>
      </c>
      <c r="M13" s="2">
        <f>C7</f>
        <v>1</v>
      </c>
      <c r="N13" s="2">
        <f>L13*M13</f>
        <v>-1</v>
      </c>
      <c r="O13" s="9">
        <f>C5</f>
        <v>311.23333333333329</v>
      </c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35">
      <c r="A14" s="4"/>
      <c r="C14" s="11" t="s">
        <v>9</v>
      </c>
      <c r="D14" s="7">
        <v>-1</v>
      </c>
      <c r="E14" s="7">
        <v>-1</v>
      </c>
      <c r="I14" s="4"/>
      <c r="J14" s="1" t="s">
        <v>14</v>
      </c>
      <c r="K14" s="2">
        <v>1</v>
      </c>
      <c r="L14" s="2">
        <f>D6</f>
        <v>1</v>
      </c>
      <c r="M14" s="2">
        <f>D7</f>
        <v>1</v>
      </c>
      <c r="N14" s="2">
        <f>L14*M14</f>
        <v>1</v>
      </c>
      <c r="O14" s="10">
        <f>D5</f>
        <v>100.33333333333333</v>
      </c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35">
      <c r="A15" s="4"/>
      <c r="C15" s="11" t="s">
        <v>10</v>
      </c>
      <c r="D15" s="7">
        <v>1</v>
      </c>
      <c r="E15" s="7">
        <v>1</v>
      </c>
      <c r="I15" s="4"/>
      <c r="J15" s="1" t="s">
        <v>15</v>
      </c>
      <c r="K15" s="2">
        <v>1</v>
      </c>
      <c r="L15" s="2">
        <f>E6</f>
        <v>-1</v>
      </c>
      <c r="M15" s="2">
        <f>E7</f>
        <v>-1</v>
      </c>
      <c r="N15" s="2">
        <f>L15*M15</f>
        <v>1</v>
      </c>
      <c r="O15" s="10">
        <f>E5</f>
        <v>161.73333333333332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35">
      <c r="A16" s="4"/>
      <c r="C16" s="17" t="s">
        <v>11</v>
      </c>
      <c r="D16" s="18"/>
      <c r="E16" s="19"/>
      <c r="I16" s="4"/>
      <c r="J16" s="1" t="s">
        <v>16</v>
      </c>
      <c r="K16" s="2">
        <v>1</v>
      </c>
      <c r="L16" s="2">
        <f>F6</f>
        <v>1</v>
      </c>
      <c r="M16" s="2">
        <f>F7</f>
        <v>-1</v>
      </c>
      <c r="N16" s="2">
        <f>L16*M16</f>
        <v>-1</v>
      </c>
      <c r="O16" s="10">
        <f>F5</f>
        <v>65</v>
      </c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 t="s">
        <v>7</v>
      </c>
      <c r="X17" s="4"/>
      <c r="Y17" s="4"/>
    </row>
    <row r="18" spans="1:2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35">
      <c r="A21" s="4"/>
      <c r="B21" s="4"/>
      <c r="C21" s="16" t="s">
        <v>17</v>
      </c>
      <c r="D21" s="16"/>
      <c r="E21" s="16"/>
      <c r="F21" s="16"/>
      <c r="G21" s="4"/>
      <c r="H21" s="16" t="s">
        <v>18</v>
      </c>
      <c r="I21" s="16"/>
      <c r="J21" s="16"/>
      <c r="K21" s="16"/>
      <c r="L21" s="4"/>
      <c r="M21" s="16" t="s">
        <v>19</v>
      </c>
      <c r="N21" s="16"/>
      <c r="O21" s="16"/>
      <c r="P21" s="16"/>
      <c r="Q21" s="4"/>
      <c r="R21" s="16" t="s">
        <v>20</v>
      </c>
      <c r="S21" s="16"/>
      <c r="T21" s="16"/>
      <c r="U21" s="16"/>
      <c r="V21" s="4"/>
      <c r="W21" s="4"/>
      <c r="X21" s="4"/>
      <c r="Y21" s="4"/>
    </row>
    <row r="22" spans="1:25" x14ac:dyDescent="0.35">
      <c r="A22" s="4"/>
      <c r="B22" s="4"/>
      <c r="C22" s="2">
        <f t="array" ref="C22:F25">TRANSPOSE(K13:N16)</f>
        <v>1</v>
      </c>
      <c r="D22" s="2">
        <v>1</v>
      </c>
      <c r="E22" s="2">
        <v>1</v>
      </c>
      <c r="F22" s="2">
        <v>1</v>
      </c>
      <c r="G22" s="4"/>
      <c r="H22" s="2">
        <f t="array" ref="H22:K25">MMULT(C22:F25,K13:N16)</f>
        <v>4</v>
      </c>
      <c r="I22" s="2">
        <v>0</v>
      </c>
      <c r="J22" s="2">
        <v>0</v>
      </c>
      <c r="K22" s="2">
        <v>0</v>
      </c>
      <c r="L22" s="4"/>
      <c r="M22" s="2">
        <f t="array" ref="M22:P25">MINVERSE(H22:K25)</f>
        <v>0.25</v>
      </c>
      <c r="N22" s="2">
        <v>0</v>
      </c>
      <c r="O22" s="2">
        <v>0</v>
      </c>
      <c r="P22" s="2">
        <v>0</v>
      </c>
      <c r="Q22" s="4"/>
      <c r="R22" s="2">
        <f t="array" ref="R22:U25">MMULT(M22:P25,C22:F25)</f>
        <v>0.25</v>
      </c>
      <c r="S22" s="2">
        <v>0.25</v>
      </c>
      <c r="T22" s="2">
        <v>0.25</v>
      </c>
      <c r="U22" s="2">
        <v>0.25</v>
      </c>
      <c r="V22" s="4"/>
      <c r="W22" s="11" t="s">
        <v>21</v>
      </c>
      <c r="X22" s="15">
        <f t="array" ref="X22:X25">MMULT(R22:U25,O13:O16)</f>
        <v>159.57499999999999</v>
      </c>
      <c r="Y22" s="4"/>
    </row>
    <row r="23" spans="1:25" x14ac:dyDescent="0.35">
      <c r="A23" s="4"/>
      <c r="B23" s="4"/>
      <c r="C23" s="2">
        <v>-1</v>
      </c>
      <c r="D23" s="2">
        <v>1</v>
      </c>
      <c r="E23" s="2">
        <v>-1</v>
      </c>
      <c r="F23" s="2">
        <v>1</v>
      </c>
      <c r="G23" s="4"/>
      <c r="H23" s="2">
        <v>0</v>
      </c>
      <c r="I23" s="2">
        <v>4</v>
      </c>
      <c r="J23" s="2">
        <v>0</v>
      </c>
      <c r="K23" s="2">
        <v>0</v>
      </c>
      <c r="L23" s="4"/>
      <c r="M23" s="2">
        <v>0</v>
      </c>
      <c r="N23" s="2">
        <v>0.25</v>
      </c>
      <c r="O23" s="2">
        <v>0</v>
      </c>
      <c r="P23" s="2">
        <v>0</v>
      </c>
      <c r="Q23" s="4"/>
      <c r="R23" s="2">
        <v>-0.25</v>
      </c>
      <c r="S23" s="2">
        <v>0.25</v>
      </c>
      <c r="T23" s="2">
        <v>-0.25</v>
      </c>
      <c r="U23" s="2">
        <v>0.25</v>
      </c>
      <c r="V23" s="4"/>
      <c r="W23" s="11" t="s">
        <v>22</v>
      </c>
      <c r="X23" s="15">
        <v>-76.908333333333331</v>
      </c>
      <c r="Y23" s="4"/>
    </row>
    <row r="24" spans="1:25" x14ac:dyDescent="0.35">
      <c r="A24" s="4"/>
      <c r="B24" s="4"/>
      <c r="C24" s="2">
        <v>1</v>
      </c>
      <c r="D24" s="2">
        <v>1</v>
      </c>
      <c r="E24" s="2">
        <v>-1</v>
      </c>
      <c r="F24" s="2">
        <v>-1</v>
      </c>
      <c r="G24" s="4"/>
      <c r="H24" s="2">
        <v>0</v>
      </c>
      <c r="I24" s="2">
        <v>0</v>
      </c>
      <c r="J24" s="2">
        <v>4</v>
      </c>
      <c r="K24" s="2">
        <v>0</v>
      </c>
      <c r="L24" s="4"/>
      <c r="M24" s="2">
        <v>0</v>
      </c>
      <c r="N24" s="2">
        <v>0</v>
      </c>
      <c r="O24" s="2">
        <v>0.25</v>
      </c>
      <c r="P24" s="2">
        <v>0</v>
      </c>
      <c r="Q24" s="4"/>
      <c r="R24" s="2">
        <v>0.25</v>
      </c>
      <c r="S24" s="2">
        <v>0.25</v>
      </c>
      <c r="T24" s="2">
        <v>-0.25</v>
      </c>
      <c r="U24" s="2">
        <v>-0.25</v>
      </c>
      <c r="V24" s="4"/>
      <c r="W24" s="11" t="s">
        <v>23</v>
      </c>
      <c r="X24" s="15">
        <v>46.208333333333321</v>
      </c>
      <c r="Y24" s="4"/>
    </row>
    <row r="25" spans="1:25" x14ac:dyDescent="0.35">
      <c r="A25" s="4"/>
      <c r="B25" s="4"/>
      <c r="C25" s="2">
        <v>-1</v>
      </c>
      <c r="D25" s="2">
        <v>1</v>
      </c>
      <c r="E25" s="2">
        <v>1</v>
      </c>
      <c r="F25" s="2">
        <v>-1</v>
      </c>
      <c r="G25" s="4"/>
      <c r="H25" s="2">
        <v>0</v>
      </c>
      <c r="I25" s="2">
        <v>0</v>
      </c>
      <c r="J25" s="2">
        <v>0</v>
      </c>
      <c r="K25" s="2">
        <v>4</v>
      </c>
      <c r="L25" s="4"/>
      <c r="M25" s="2">
        <v>0</v>
      </c>
      <c r="N25" s="2">
        <v>0</v>
      </c>
      <c r="O25" s="2">
        <v>0</v>
      </c>
      <c r="P25" s="2">
        <v>0.25</v>
      </c>
      <c r="Q25" s="4"/>
      <c r="R25" s="2">
        <v>-0.25</v>
      </c>
      <c r="S25" s="2">
        <v>0.25</v>
      </c>
      <c r="T25" s="2">
        <v>0.25</v>
      </c>
      <c r="U25" s="2">
        <v>-0.25</v>
      </c>
      <c r="V25" s="4"/>
      <c r="W25" s="11" t="s">
        <v>24</v>
      </c>
      <c r="X25" s="15">
        <v>-28.541666666666664</v>
      </c>
      <c r="Y25" s="4"/>
    </row>
    <row r="26" spans="1:2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35">
      <c r="A27" s="4"/>
      <c r="B27" s="4"/>
      <c r="C27" s="4"/>
      <c r="D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23.5" x14ac:dyDescent="0.35">
      <c r="I28" s="21" t="s">
        <v>38</v>
      </c>
      <c r="J28" s="21"/>
      <c r="K28" s="21"/>
      <c r="L28" s="21"/>
      <c r="M28" s="21"/>
      <c r="N28" s="21"/>
      <c r="O28" s="21"/>
    </row>
    <row r="30" spans="1:25" ht="26" x14ac:dyDescent="0.35">
      <c r="J30" s="22" t="s">
        <v>37</v>
      </c>
      <c r="K30" s="22"/>
      <c r="L30" s="22"/>
      <c r="M30" s="22"/>
      <c r="N30" s="22"/>
    </row>
  </sheetData>
  <mergeCells count="9">
    <mergeCell ref="C21:F21"/>
    <mergeCell ref="C16:E16"/>
    <mergeCell ref="V2:V10"/>
    <mergeCell ref="I8:T8"/>
    <mergeCell ref="M21:P21"/>
    <mergeCell ref="R21:U21"/>
    <mergeCell ref="H21:K21"/>
    <mergeCell ref="I28:O28"/>
    <mergeCell ref="J30:N30"/>
  </mergeCells>
  <phoneticPr fontId="2" type="noConversion"/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3A1C9E33-768B-4781-89DA-021778CA7A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Feuil1!C3:C3</xm:f>
              <xm:sqref>C5</xm:sqref>
            </x14:sparkline>
            <x14:sparkline>
              <xm:f>Feuil1!D3:D3</xm:f>
              <xm:sqref>D5</xm:sqref>
            </x14:sparkline>
            <x14:sparkline>
              <xm:f>Feuil1!E3:E3</xm:f>
              <xm:sqref>E5</xm:sqref>
            </x14:sparkline>
            <x14:sparkline>
              <xm:f>Feuil1!F3:F3</xm:f>
              <xm:sqref>F5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Mejdoul</dc:creator>
  <cp:keywords/>
  <dc:description/>
  <cp:lastModifiedBy>mohamed mejdoul</cp:lastModifiedBy>
  <cp:revision/>
  <dcterms:created xsi:type="dcterms:W3CDTF">2026-01-21T13:35:56Z</dcterms:created>
  <dcterms:modified xsi:type="dcterms:W3CDTF">2026-05-27T19:22:38Z</dcterms:modified>
  <cp:category/>
  <cp:contentStatus/>
</cp:coreProperties>
</file>